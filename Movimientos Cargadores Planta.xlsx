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AlexanderArenas\Desktop\SITEMACARGADORES-BIOCICLO\"/>
    </mc:Choice>
  </mc:AlternateContent>
  <xr:revisionPtr revIDLastSave="0" documentId="13_ncr:1_{28942123-9DE4-4864-AA17-60EFC82E3E93}" xr6:coauthVersionLast="47" xr6:coauthVersionMax="47" xr10:uidLastSave="{00000000-0000-0000-0000-000000000000}"/>
  <bookViews>
    <workbookView xWindow="-110" yWindow="-110" windowWidth="19420" windowHeight="10300" firstSheet="2" activeTab="2" xr2:uid="{7F611DDF-21AA-4E5C-9DA6-682D6E5A1F3A}"/>
  </bookViews>
  <sheets>
    <sheet name="Borrad" sheetId="3" state="hidden" r:id="rId1"/>
    <sheet name="DATOS OP" sheetId="1" state="hidden" r:id="rId2"/>
    <sheet name="INFORME" sheetId="6" r:id="rId3"/>
  </sheets>
  <definedNames>
    <definedName name="SegmentaciónDeDatos_Fecha">#N/A</definedName>
    <definedName name="SegmentaciónDeDatos_Fecha1">#N/A</definedName>
  </definedNames>
  <calcPr calcId="191029"/>
  <pivotCaches>
    <pivotCache cacheId="11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3" i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2" i="3"/>
</calcChain>
</file>

<file path=xl/sharedStrings.xml><?xml version="1.0" encoding="utf-8"?>
<sst xmlns="http://schemas.openxmlformats.org/spreadsheetml/2006/main" count="109" uniqueCount="28">
  <si>
    <t>Fecha</t>
  </si>
  <si>
    <t>Operario</t>
  </si>
  <si>
    <t>Tipo de Movimiento</t>
  </si>
  <si>
    <t>Num Paladas</t>
  </si>
  <si>
    <t>Peso Calculado Kg</t>
  </si>
  <si>
    <t>Duración Segundos</t>
  </si>
  <si>
    <t>Tiempo Inicio</t>
  </si>
  <si>
    <t>Tiempo Fin</t>
  </si>
  <si>
    <t>Tiempo Total</t>
  </si>
  <si>
    <t>Arturo</t>
  </si>
  <si>
    <t>Mover Mat Chip</t>
  </si>
  <si>
    <t>a. m.</t>
  </si>
  <si>
    <t>hora</t>
  </si>
  <si>
    <t>Mov Recirculado</t>
  </si>
  <si>
    <t>Mover Chipeado</t>
  </si>
  <si>
    <t>Diego</t>
  </si>
  <si>
    <t>Hacer Volteo 2</t>
  </si>
  <si>
    <t>Mover Verdes</t>
  </si>
  <si>
    <t>Llenar Bunker</t>
  </si>
  <si>
    <t>Jhonny</t>
  </si>
  <si>
    <t>p. m.</t>
  </si>
  <si>
    <t xml:space="preserve">FECHA </t>
  </si>
  <si>
    <t>FECHA</t>
  </si>
  <si>
    <t>Etiquetas de fila</t>
  </si>
  <si>
    <t>(en blanco)</t>
  </si>
  <si>
    <t>Total general</t>
  </si>
  <si>
    <t>Suma de Peso Calculado Kg</t>
  </si>
  <si>
    <t>Suma de Tiempo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</si>
</sst>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0" formatCode="h:mm:ss;@"/>
    <numFmt numFmtId="171" formatCode="hh:mm:ss;@"/>
    <numFmt numFmtId="173" formatCode="0.000"/>
    <numFmt numFmtId="174" formatCode="0.0000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22" fontId="0" fillId="0" borderId="0" xfId="0" applyNumberFormat="1"/>
    <xf numFmtId="21" fontId="0" fillId="0" borderId="0" xfId="0" applyNumberFormat="1"/>
    <xf numFmtId="14" fontId="0" fillId="0" borderId="0" xfId="0" applyNumberFormat="1"/>
    <xf numFmtId="14" fontId="0" fillId="0" borderId="0" xfId="0" applyNumberFormat="1" applyBorder="1"/>
    <xf numFmtId="22" fontId="1" fillId="0" borderId="0" xfId="0" applyNumberFormat="1" applyFont="1" applyBorder="1" applyAlignment="1">
      <alignment horizontal="right" wrapText="1"/>
    </xf>
    <xf numFmtId="0" fontId="0" fillId="0" borderId="0" xfId="0" applyBorder="1"/>
    <xf numFmtId="21" fontId="0" fillId="0" borderId="0" xfId="0" applyNumberFormat="1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right" wrapText="1"/>
    </xf>
    <xf numFmtId="170" fontId="0" fillId="0" borderId="0" xfId="0" applyNumberFormat="1"/>
    <xf numFmtId="171" fontId="0" fillId="0" borderId="0" xfId="0" applyNumberFormat="1"/>
    <xf numFmtId="173" fontId="0" fillId="0" borderId="0" xfId="0" applyNumberFormat="1"/>
    <xf numFmtId="17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[Movimientos Cargadores Planta.xlsx]INFORME!TablaDinámica2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INFORME!$B$1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INFORME!$A$2:$A$6</c:f>
              <c:strCache>
                <c:ptCount val="4"/>
                <c:pt idx="0">
                  <c:v>Arturo</c:v>
                </c:pt>
                <c:pt idx="1">
                  <c:v>Diego</c:v>
                </c:pt>
                <c:pt idx="2">
                  <c:v>Jhonny</c:v>
                </c:pt>
                <c:pt idx="3">
                  <c:v>(en blanco)</c:v>
                </c:pt>
              </c:strCache>
            </c:strRef>
          </c:cat>
          <c:val>
            <c:numRef>
              <c:f>INFORME!$B$2:$B$6</c:f>
              <c:numCache>
                <c:formatCode>General</c:formatCode>
                <c:ptCount val="4"/>
                <c:pt idx="0">
                  <c:v>22400</c:v>
                </c:pt>
                <c:pt idx="1">
                  <c:v>1350</c:v>
                </c:pt>
                <c:pt idx="2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D7-41E3-92BF-F1D74EC2E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3841920"/>
        <c:axId val="1213842400"/>
      </c:barChart>
      <c:catAx>
        <c:axId val="121384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3842400"/>
        <c:crosses val="autoZero"/>
        <c:auto val="1"/>
        <c:lblAlgn val="ctr"/>
        <c:lblOffset val="100"/>
        <c:noMultiLvlLbl val="0"/>
      </c:catAx>
      <c:valAx>
        <c:axId val="1213842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384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[Movimientos Cargadores Planta.xlsx]INFORME!TablaDinámica3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8493548355777348E-2"/>
          <c:y val="0.26328484981044037"/>
          <c:w val="0.79550957794887234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INFORME!$B$23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INFORME!$A$24:$A$28</c:f>
              <c:strCache>
                <c:ptCount val="4"/>
                <c:pt idx="0">
                  <c:v>Arturo</c:v>
                </c:pt>
                <c:pt idx="1">
                  <c:v>Diego</c:v>
                </c:pt>
                <c:pt idx="2">
                  <c:v>Jhonny</c:v>
                </c:pt>
                <c:pt idx="3">
                  <c:v>(en blanco)</c:v>
                </c:pt>
              </c:strCache>
            </c:strRef>
          </c:cat>
          <c:val>
            <c:numRef>
              <c:f>INFORME!$B$24:$B$28</c:f>
              <c:numCache>
                <c:formatCode>General</c:formatCode>
                <c:ptCount val="4"/>
                <c:pt idx="0">
                  <c:v>9.5277777777775796E-2</c:v>
                </c:pt>
                <c:pt idx="1">
                  <c:v>2.2222222222234578E-3</c:v>
                </c:pt>
                <c:pt idx="2">
                  <c:v>8.0555555555550384E-3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A-4E1A-AD96-0D69DE4AC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4710832"/>
        <c:axId val="874711312"/>
      </c:barChart>
      <c:catAx>
        <c:axId val="87471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4711312"/>
        <c:crosses val="autoZero"/>
        <c:auto val="1"/>
        <c:lblAlgn val="ctr"/>
        <c:lblOffset val="100"/>
        <c:noMultiLvlLbl val="0"/>
      </c:catAx>
      <c:valAx>
        <c:axId val="874711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471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6</xdr:row>
      <xdr:rowOff>63500</xdr:rowOff>
    </xdr:from>
    <xdr:to>
      <xdr:col>5</xdr:col>
      <xdr:colOff>501650</xdr:colOff>
      <xdr:row>21</xdr:row>
      <xdr:rowOff>44450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966B9E6-723B-CB9B-C420-4BB577B9D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635000</xdr:colOff>
      <xdr:row>0</xdr:row>
      <xdr:rowOff>57150</xdr:rowOff>
    </xdr:from>
    <xdr:to>
      <xdr:col>5</xdr:col>
      <xdr:colOff>177800</xdr:colOff>
      <xdr:row>4</xdr:row>
      <xdr:rowOff>88900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Fecha">
              <a:extLst>
                <a:ext uri="{FF2B5EF4-FFF2-40B4-BE49-F238E27FC236}">
                  <a16:creationId xmlns:a16="http://schemas.microsoft.com/office/drawing/2014/main" id="{A0DB9CF9-24B3-ADFA-7391-725CE5DB1D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30550" y="57150"/>
              <a:ext cx="1828800" cy="768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419100</xdr:colOff>
      <xdr:row>28</xdr:row>
      <xdr:rowOff>127000</xdr:rowOff>
    </xdr:from>
    <xdr:to>
      <xdr:col>5</xdr:col>
      <xdr:colOff>457200</xdr:colOff>
      <xdr:row>43</xdr:row>
      <xdr:rowOff>107950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D187576-1792-4AA8-94A5-2F6CBD9101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742950</xdr:colOff>
      <xdr:row>22</xdr:row>
      <xdr:rowOff>25400</xdr:rowOff>
    </xdr:from>
    <xdr:to>
      <xdr:col>5</xdr:col>
      <xdr:colOff>285750</xdr:colOff>
      <xdr:row>27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Fecha 1">
              <a:extLst>
                <a:ext uri="{FF2B5EF4-FFF2-40B4-BE49-F238E27FC236}">
                  <a16:creationId xmlns:a16="http://schemas.microsoft.com/office/drawing/2014/main" id="{226C1F71-C943-7DA4-2D73-8EEF7AE3ED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38500" y="4076700"/>
              <a:ext cx="1828800" cy="1066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 Alexander Arenas" refreshedDate="46030.634376273149" createdVersion="8" refreshedVersion="8" minRefreshableVersion="3" recordCount="16" xr:uid="{B2D26B46-5A6F-4C54-8714-1E1A449B0408}">
  <cacheSource type="worksheet">
    <worksheetSource ref="A1:I1048576" sheet="DATOS OP"/>
  </cacheSource>
  <cacheFields count="9">
    <cacheField name="Fecha" numFmtId="0">
      <sharedItems containsNonDate="0" containsDate="1" containsString="0" containsBlank="1" minDate="2025-12-09T00:00:00" maxDate="2026-01-07T00:00:00" count="5">
        <d v="2025-12-09T00:00:00"/>
        <d v="2025-12-18T00:00:00"/>
        <d v="2025-12-23T00:00:00"/>
        <d v="2026-01-06T00:00:00"/>
        <m/>
      </sharedItems>
    </cacheField>
    <cacheField name="Operario" numFmtId="0">
      <sharedItems containsBlank="1" count="4">
        <s v="Arturo"/>
        <s v="Diego"/>
        <s v="Jhonny"/>
        <m/>
      </sharedItems>
    </cacheField>
    <cacheField name="Tipo de Movimiento" numFmtId="0">
      <sharedItems containsBlank="1"/>
    </cacheField>
    <cacheField name="Num Paladas" numFmtId="0">
      <sharedItems containsString="0" containsBlank="1" containsNumber="1" containsInteger="1" minValue="1" maxValue="10"/>
    </cacheField>
    <cacheField name="Peso Calculado Kg" numFmtId="0">
      <sharedItems containsString="0" containsBlank="1" containsNumber="1" containsInteger="1" minValue="600" maxValue="5500"/>
    </cacheField>
    <cacheField name="Duración Segundos" numFmtId="0">
      <sharedItems containsString="0" containsBlank="1" containsNumber="1" containsInteger="1" minValue="2" maxValue="46"/>
    </cacheField>
    <cacheField name="Tiempo Inicio" numFmtId="0">
      <sharedItems containsNonDate="0" containsDate="1" containsString="0" containsBlank="1" minDate="1899-12-30T09:26:42" maxDate="1899-12-30T16:50:38"/>
    </cacheField>
    <cacheField name="Tiempo Fin" numFmtId="0">
      <sharedItems containsNonDate="0" containsDate="1" containsString="0" containsBlank="1" minDate="1899-12-30T09:27:16" maxDate="1899-12-30T16:50:30"/>
    </cacheField>
    <cacheField name="Tiempo Total" numFmtId="0">
      <sharedItems containsString="0" containsBlank="1" containsNumber="1" minValue="1.6666666666669272E-3" maxValue="3.6388888888887472E-2"/>
    </cacheField>
  </cacheFields>
  <extLst>
    <ext xmlns:x14="http://schemas.microsoft.com/office/spreadsheetml/2009/9/main" uri="{725AE2AE-9491-48be-B2B4-4EB974FC3084}">
      <x14:pivotCacheDefinition pivotCacheId="2657435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Mover Mat Chip"/>
    <n v="2"/>
    <n v="1200"/>
    <n v="34"/>
    <d v="1899-12-30T09:26:42"/>
    <d v="1899-12-30T09:27:16"/>
    <n v="9.4444444444437003E-3"/>
  </r>
  <r>
    <x v="0"/>
    <x v="0"/>
    <s v="Mover Mat Chip"/>
    <n v="2"/>
    <n v="1200"/>
    <n v="34"/>
    <d v="1899-12-30T09:27:23"/>
    <d v="1899-12-30T09:27:16"/>
    <n v="1.9444444444451925E-3"/>
  </r>
  <r>
    <x v="0"/>
    <x v="0"/>
    <s v="Mov Recirculado"/>
    <n v="10"/>
    <n v="5500"/>
    <n v="31"/>
    <d v="1899-12-30T12:27:48"/>
    <d v="1899-12-30T12:25:41"/>
    <n v="3.5277777777777075E-2"/>
  </r>
  <r>
    <x v="0"/>
    <x v="0"/>
    <s v="Mov Recirculado"/>
    <n v="10"/>
    <n v="5500"/>
    <n v="31"/>
    <d v="1899-12-30T12:27:52"/>
    <d v="1899-12-30T12:25:41"/>
    <n v="3.6388888888887472E-2"/>
  </r>
  <r>
    <x v="1"/>
    <x v="0"/>
    <s v="Mov Recirculado"/>
    <n v="2"/>
    <n v="1100"/>
    <n v="46"/>
    <d v="1899-12-30T12:14:00"/>
    <d v="1899-12-30T12:13:51"/>
    <n v="2.5000000000003908E-3"/>
  </r>
  <r>
    <x v="1"/>
    <x v="0"/>
    <s v="Mover Chipeado"/>
    <n v="2"/>
    <n v="1300"/>
    <n v="2"/>
    <d v="1899-12-30T12:53:57"/>
    <d v="1899-12-30T12:53:51"/>
    <n v="1.6666666666669272E-3"/>
  </r>
  <r>
    <x v="1"/>
    <x v="0"/>
    <s v="Mover Chipeado"/>
    <n v="2"/>
    <n v="1300"/>
    <n v="2"/>
    <d v="1899-12-30T12:54:00"/>
    <d v="1899-12-30T12:53:51"/>
    <n v="2.5000000000003908E-3"/>
  </r>
  <r>
    <x v="2"/>
    <x v="1"/>
    <s v="Hacer Volteo 2"/>
    <n v="3"/>
    <n v="1350"/>
    <n v="39"/>
    <d v="1899-12-30T14:37:17"/>
    <d v="1899-12-30T14:37:09"/>
    <n v="2.2222222222234578E-3"/>
  </r>
  <r>
    <x v="2"/>
    <x v="0"/>
    <s v="Mover Mat Chip"/>
    <n v="1"/>
    <n v="600"/>
    <n v="3"/>
    <d v="1899-12-30T15:50:48"/>
    <d v="1899-12-30T15:50:42"/>
    <n v="1.6666666666669272E-3"/>
  </r>
  <r>
    <x v="2"/>
    <x v="0"/>
    <s v="Mover Verdes"/>
    <n v="3"/>
    <n v="1500"/>
    <n v="21"/>
    <d v="1899-12-30T16:32:13"/>
    <d v="1899-12-30T16:32:07"/>
    <n v="1.6666666666669272E-3"/>
  </r>
  <r>
    <x v="2"/>
    <x v="0"/>
    <s v="Llenar Bunker"/>
    <n v="2"/>
    <n v="3200"/>
    <n v="14"/>
    <d v="1899-12-30T16:50:38"/>
    <d v="1899-12-30T16:50:30"/>
    <n v="2.2222222222207932E-3"/>
  </r>
  <r>
    <x v="3"/>
    <x v="2"/>
    <s v="Llenar Bunker"/>
    <n v="3"/>
    <n v="4800"/>
    <n v="5"/>
    <d v="1899-12-30T13:04:39"/>
    <d v="1899-12-30T13:04:32"/>
    <n v="1.9444444444438602E-3"/>
  </r>
  <r>
    <x v="3"/>
    <x v="2"/>
    <s v="Llenar Bunker"/>
    <n v="3"/>
    <n v="4800"/>
    <n v="5"/>
    <d v="1899-12-30T13:04:40"/>
    <d v="1899-12-30T13:04:32"/>
    <n v="2.2222222222207932E-3"/>
  </r>
  <r>
    <x v="3"/>
    <x v="2"/>
    <s v="Mover Verdes"/>
    <n v="6"/>
    <n v="4200"/>
    <n v="30"/>
    <d v="1899-12-30T14:27:15"/>
    <d v="1899-12-30T14:27:09"/>
    <n v="1.6666666666669272E-3"/>
  </r>
  <r>
    <x v="3"/>
    <x v="2"/>
    <s v="Mover Verdes"/>
    <n v="6"/>
    <n v="4200"/>
    <n v="30"/>
    <d v="1899-12-30T14:27:17"/>
    <d v="1899-12-30T14:27:09"/>
    <n v="2.2222222222234578E-3"/>
  </r>
  <r>
    <x v="4"/>
    <x v="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143887-8098-449A-824D-0D3FD5B0146D}" name="TablaDinámica3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23:B28" firstHeaderRow="1" firstDataRow="1" firstDataCol="1"/>
  <pivotFields count="9"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Tiempo Total" fld="8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3CA7D4-E18E-4FE6-8F03-F2168AD1EF0B}" name="TablaDinámica2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6" firstHeaderRow="1" firstDataRow="1" firstDataCol="1"/>
  <pivotFields count="9"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Peso Calculado Kg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" xr10:uid="{5151A3F3-7959-4A02-ACB8-91AA4B1FFF51}" sourceName="Fecha">
  <pivotTables>
    <pivotTable tabId="6" name="TablaDinámica2"/>
  </pivotTables>
  <data>
    <tabular pivotCacheId="26574358">
      <items count="5">
        <i x="0" s="1"/>
        <i x="1" s="1"/>
        <i x="2" s="1"/>
        <i x="3" s="1"/>
        <i x="4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1" xr10:uid="{3D2E2460-FA76-4B35-BDC5-1C57C718A958}" sourceName="Fecha">
  <pivotTables>
    <pivotTable tabId="6" name="TablaDinámica3"/>
  </pivotTables>
  <data>
    <tabular pivotCacheId="26574358">
      <items count="5">
        <i x="0" s="1"/>
        <i x="1" s="1"/>
        <i x="2" s="1"/>
        <i x="3" s="1"/>
        <i x="4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" xr10:uid="{325061EE-625F-4187-8354-E473F6D513FA}" cache="SegmentaciónDeDatos_Fecha" caption="Fecha" rowHeight="251883"/>
  <slicer name="Fecha 1" xr10:uid="{ACCE3D96-ED1C-4B9B-B36B-9F71EA1DD41A}" cache="SegmentaciónDeDatos_Fecha1" caption="Fecha" rowHeight="251883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A48CD-37DD-49F6-98EF-0A29F404DC39}">
  <dimension ref="A1:R17"/>
  <sheetViews>
    <sheetView topLeftCell="D1" workbookViewId="0">
      <selection activeCell="O3" sqref="O3:O16"/>
    </sheetView>
  </sheetViews>
  <sheetFormatPr baseColWidth="10" defaultRowHeight="14.5" x14ac:dyDescent="0.35"/>
  <cols>
    <col min="1" max="3" width="15.7265625" customWidth="1"/>
    <col min="5" max="5" width="16.36328125" bestFit="1" customWidth="1"/>
    <col min="9" max="11" width="16.1796875" customWidth="1"/>
    <col min="12" max="12" width="17" customWidth="1"/>
  </cols>
  <sheetData>
    <row r="1" spans="1:18" x14ac:dyDescent="0.35">
      <c r="A1" t="s">
        <v>0</v>
      </c>
      <c r="B1" t="s">
        <v>12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21</v>
      </c>
      <c r="J1" t="s">
        <v>6</v>
      </c>
      <c r="L1" t="s">
        <v>22</v>
      </c>
      <c r="M1" t="s">
        <v>7</v>
      </c>
    </row>
    <row r="2" spans="1:18" x14ac:dyDescent="0.35">
      <c r="A2" s="4">
        <v>46000</v>
      </c>
      <c r="B2" s="2">
        <v>0.39401620370370372</v>
      </c>
      <c r="C2" s="1" t="s">
        <v>11</v>
      </c>
      <c r="D2" s="6" t="s">
        <v>9</v>
      </c>
      <c r="E2" s="6" t="s">
        <v>10</v>
      </c>
      <c r="F2" s="6">
        <v>2</v>
      </c>
      <c r="G2" s="6">
        <v>1200</v>
      </c>
      <c r="H2" s="6">
        <v>34</v>
      </c>
      <c r="I2" s="4">
        <v>46000</v>
      </c>
      <c r="J2" s="7">
        <v>0.39354166666666668</v>
      </c>
      <c r="K2" s="1"/>
      <c r="L2" s="7">
        <v>0.39354166666666668</v>
      </c>
      <c r="M2" s="10">
        <v>0.39393518518518517</v>
      </c>
      <c r="O2" s="12">
        <f>(J2-M2)*24</f>
        <v>-9.4444444444437003E-3</v>
      </c>
    </row>
    <row r="3" spans="1:18" x14ac:dyDescent="0.35">
      <c r="A3" s="5">
        <v>46000</v>
      </c>
      <c r="B3" s="2">
        <v>0.39401620370370372</v>
      </c>
      <c r="C3" t="s">
        <v>11</v>
      </c>
      <c r="D3" s="8" t="s">
        <v>9</v>
      </c>
      <c r="E3" s="8" t="s">
        <v>10</v>
      </c>
      <c r="F3" s="9">
        <v>2</v>
      </c>
      <c r="G3" s="9">
        <v>1200</v>
      </c>
      <c r="H3" s="9">
        <v>34</v>
      </c>
      <c r="I3" s="5">
        <v>46000</v>
      </c>
      <c r="J3" s="11">
        <v>0.39401620370370372</v>
      </c>
      <c r="K3" s="11"/>
      <c r="L3" s="5">
        <v>46000</v>
      </c>
      <c r="M3" s="10">
        <v>0.39393518518518517</v>
      </c>
      <c r="O3" s="12">
        <f t="shared" ref="O3:O17" si="0">(J3-M3)*24</f>
        <v>1.9444444444451925E-3</v>
      </c>
      <c r="R3" s="11"/>
    </row>
    <row r="4" spans="1:18" x14ac:dyDescent="0.35">
      <c r="A4" s="5">
        <v>46000</v>
      </c>
      <c r="B4" s="2">
        <v>0.51930555555555558</v>
      </c>
      <c r="C4" t="s">
        <v>20</v>
      </c>
      <c r="D4" s="8" t="s">
        <v>9</v>
      </c>
      <c r="E4" s="8" t="s">
        <v>13</v>
      </c>
      <c r="F4" s="9">
        <v>10</v>
      </c>
      <c r="G4" s="9">
        <v>5500</v>
      </c>
      <c r="H4" s="9">
        <v>31</v>
      </c>
      <c r="I4" s="5">
        <v>46000</v>
      </c>
      <c r="J4" s="2">
        <v>0.51930555555555558</v>
      </c>
      <c r="K4" s="11"/>
      <c r="L4" s="5">
        <v>46000</v>
      </c>
      <c r="M4" s="10">
        <v>0.5178356481481482</v>
      </c>
      <c r="O4" s="12">
        <f t="shared" si="0"/>
        <v>3.5277777777777075E-2</v>
      </c>
      <c r="R4" s="2"/>
    </row>
    <row r="5" spans="1:18" x14ac:dyDescent="0.35">
      <c r="A5" s="5">
        <v>46000</v>
      </c>
      <c r="B5" s="2">
        <v>0.51935185185185184</v>
      </c>
      <c r="C5" t="s">
        <v>20</v>
      </c>
      <c r="D5" s="8" t="s">
        <v>9</v>
      </c>
      <c r="E5" s="8" t="s">
        <v>13</v>
      </c>
      <c r="F5" s="9">
        <v>10</v>
      </c>
      <c r="G5" s="9">
        <v>5500</v>
      </c>
      <c r="H5" s="9">
        <v>31</v>
      </c>
      <c r="I5" s="5">
        <v>46000</v>
      </c>
      <c r="J5" s="2">
        <v>0.51935185185185184</v>
      </c>
      <c r="K5" s="11"/>
      <c r="L5" s="5">
        <v>46000</v>
      </c>
      <c r="M5" s="10">
        <v>0.5178356481481482</v>
      </c>
      <c r="O5" s="12">
        <f t="shared" si="0"/>
        <v>3.6388888888887472E-2</v>
      </c>
      <c r="R5" s="2"/>
    </row>
    <row r="6" spans="1:18" x14ac:dyDescent="0.35">
      <c r="A6" s="5">
        <v>46009</v>
      </c>
      <c r="B6" s="2">
        <v>0.50972222222222219</v>
      </c>
      <c r="C6" t="s">
        <v>20</v>
      </c>
      <c r="D6" s="8" t="s">
        <v>9</v>
      </c>
      <c r="E6" s="8" t="s">
        <v>13</v>
      </c>
      <c r="F6" s="9">
        <v>2</v>
      </c>
      <c r="G6" s="9">
        <v>1100</v>
      </c>
      <c r="H6" s="9">
        <v>46</v>
      </c>
      <c r="I6" s="5">
        <v>46009</v>
      </c>
      <c r="J6" s="2">
        <v>0.50972222222222219</v>
      </c>
      <c r="K6" s="11"/>
      <c r="L6" s="5">
        <v>46009</v>
      </c>
      <c r="M6" s="10">
        <v>0.5096180555555555</v>
      </c>
      <c r="O6" s="12">
        <f t="shared" si="0"/>
        <v>2.5000000000003908E-3</v>
      </c>
      <c r="R6" s="2"/>
    </row>
    <row r="7" spans="1:18" x14ac:dyDescent="0.35">
      <c r="A7" s="5">
        <v>46009</v>
      </c>
      <c r="B7" s="2">
        <v>0.53746527777777775</v>
      </c>
      <c r="C7" t="s">
        <v>20</v>
      </c>
      <c r="D7" s="8" t="s">
        <v>9</v>
      </c>
      <c r="E7" s="8" t="s">
        <v>14</v>
      </c>
      <c r="F7" s="9">
        <v>2</v>
      </c>
      <c r="G7" s="9">
        <v>1300</v>
      </c>
      <c r="H7" s="9">
        <v>2</v>
      </c>
      <c r="I7" s="5">
        <v>46009</v>
      </c>
      <c r="J7" s="2">
        <v>0.53746527777777775</v>
      </c>
      <c r="K7" s="11"/>
      <c r="L7" s="5">
        <v>46009</v>
      </c>
      <c r="M7" s="10">
        <v>0.53739583333333329</v>
      </c>
      <c r="O7" s="12">
        <f t="shared" si="0"/>
        <v>1.6666666666669272E-3</v>
      </c>
      <c r="R7" s="2"/>
    </row>
    <row r="8" spans="1:18" x14ac:dyDescent="0.35">
      <c r="A8" s="5">
        <v>46009</v>
      </c>
      <c r="B8" s="2">
        <v>0.53749999999999998</v>
      </c>
      <c r="C8" t="s">
        <v>20</v>
      </c>
      <c r="D8" s="8" t="s">
        <v>9</v>
      </c>
      <c r="E8" s="8" t="s">
        <v>14</v>
      </c>
      <c r="F8" s="9">
        <v>2</v>
      </c>
      <c r="G8" s="9">
        <v>1300</v>
      </c>
      <c r="H8" s="9">
        <v>2</v>
      </c>
      <c r="I8" s="5">
        <v>46009</v>
      </c>
      <c r="J8" s="2">
        <v>0.53749999999999998</v>
      </c>
      <c r="K8" s="11"/>
      <c r="L8" s="5">
        <v>46009</v>
      </c>
      <c r="M8" s="10">
        <v>0.53739583333333329</v>
      </c>
      <c r="O8" s="12">
        <f t="shared" si="0"/>
        <v>2.5000000000003908E-3</v>
      </c>
      <c r="R8" s="2"/>
    </row>
    <row r="9" spans="1:18" x14ac:dyDescent="0.35">
      <c r="A9" s="5">
        <v>46014</v>
      </c>
      <c r="B9" s="2">
        <v>0.10922453703703704</v>
      </c>
      <c r="C9" t="s">
        <v>20</v>
      </c>
      <c r="D9" s="8" t="s">
        <v>15</v>
      </c>
      <c r="E9" s="8" t="s">
        <v>16</v>
      </c>
      <c r="F9" s="9">
        <v>3</v>
      </c>
      <c r="G9" s="9">
        <v>1350</v>
      </c>
      <c r="H9" s="9">
        <v>39</v>
      </c>
      <c r="I9" s="5">
        <v>46014</v>
      </c>
      <c r="J9" s="2">
        <v>0.60922453703703705</v>
      </c>
      <c r="K9" s="11"/>
      <c r="L9" s="5">
        <v>46014</v>
      </c>
      <c r="M9" s="10">
        <v>0.60913194444444441</v>
      </c>
      <c r="N9" s="10"/>
      <c r="O9" s="12">
        <f t="shared" si="0"/>
        <v>2.2222222222234578E-3</v>
      </c>
      <c r="R9" s="2"/>
    </row>
    <row r="10" spans="1:18" x14ac:dyDescent="0.35">
      <c r="A10" s="5">
        <v>46014</v>
      </c>
      <c r="B10" s="2">
        <v>0.16027777777777777</v>
      </c>
      <c r="C10" t="s">
        <v>20</v>
      </c>
      <c r="D10" s="8" t="s">
        <v>9</v>
      </c>
      <c r="E10" s="8" t="s">
        <v>10</v>
      </c>
      <c r="F10" s="9">
        <v>1</v>
      </c>
      <c r="G10" s="9">
        <v>600</v>
      </c>
      <c r="H10" s="9">
        <v>3</v>
      </c>
      <c r="I10" s="5">
        <v>46014</v>
      </c>
      <c r="J10" s="2">
        <v>0.66027777777777774</v>
      </c>
      <c r="K10" s="11"/>
      <c r="L10" s="5">
        <v>46014</v>
      </c>
      <c r="M10" s="10">
        <v>0.66020833333333329</v>
      </c>
      <c r="N10" s="10"/>
      <c r="O10" s="12">
        <f t="shared" si="0"/>
        <v>1.6666666666669272E-3</v>
      </c>
      <c r="R10" s="2"/>
    </row>
    <row r="11" spans="1:18" x14ac:dyDescent="0.35">
      <c r="A11" s="5">
        <v>46014</v>
      </c>
      <c r="B11" s="2">
        <v>0.18903935185185186</v>
      </c>
      <c r="C11" t="s">
        <v>20</v>
      </c>
      <c r="D11" s="8" t="s">
        <v>9</v>
      </c>
      <c r="E11" s="8" t="s">
        <v>17</v>
      </c>
      <c r="F11" s="9">
        <v>3</v>
      </c>
      <c r="G11" s="9">
        <v>1500</v>
      </c>
      <c r="H11" s="9">
        <v>21</v>
      </c>
      <c r="I11" s="5">
        <v>46014</v>
      </c>
      <c r="J11" s="2">
        <v>0.68903935185185183</v>
      </c>
      <c r="K11" s="11"/>
      <c r="L11" s="5">
        <v>46014</v>
      </c>
      <c r="M11" s="10">
        <v>0.68896990740740738</v>
      </c>
      <c r="N11" s="10"/>
      <c r="O11" s="12">
        <f t="shared" si="0"/>
        <v>1.6666666666669272E-3</v>
      </c>
      <c r="R11" s="2"/>
    </row>
    <row r="12" spans="1:18" x14ac:dyDescent="0.35">
      <c r="A12" s="5">
        <v>46014</v>
      </c>
      <c r="B12" s="2">
        <v>0.2018287037037037</v>
      </c>
      <c r="C12" t="s">
        <v>20</v>
      </c>
      <c r="D12" s="8" t="s">
        <v>9</v>
      </c>
      <c r="E12" s="8" t="s">
        <v>18</v>
      </c>
      <c r="F12" s="9">
        <v>2</v>
      </c>
      <c r="G12" s="9">
        <v>3200</v>
      </c>
      <c r="H12" s="9">
        <v>14</v>
      </c>
      <c r="I12" s="5">
        <v>46014</v>
      </c>
      <c r="J12" s="2">
        <v>0.70182870370370365</v>
      </c>
      <c r="K12" s="11"/>
      <c r="L12" s="5">
        <v>46014</v>
      </c>
      <c r="M12" s="10">
        <v>0.70173611111111112</v>
      </c>
      <c r="N12" s="10"/>
      <c r="O12" s="12">
        <f t="shared" si="0"/>
        <v>2.2222222222207932E-3</v>
      </c>
      <c r="R12" s="2"/>
    </row>
    <row r="13" spans="1:18" x14ac:dyDescent="0.35">
      <c r="A13" s="5">
        <v>46028</v>
      </c>
      <c r="B13" s="2">
        <v>4.4895833333333336E-2</v>
      </c>
      <c r="C13" t="s">
        <v>20</v>
      </c>
      <c r="D13" s="8" t="s">
        <v>19</v>
      </c>
      <c r="E13" s="8" t="s">
        <v>18</v>
      </c>
      <c r="F13" s="9">
        <v>3</v>
      </c>
      <c r="G13" s="9">
        <v>4800</v>
      </c>
      <c r="H13" s="9">
        <v>5</v>
      </c>
      <c r="I13" s="5">
        <v>46028</v>
      </c>
      <c r="J13" s="2">
        <v>0.54489583333333336</v>
      </c>
      <c r="K13" s="11"/>
      <c r="L13" s="5">
        <v>46028</v>
      </c>
      <c r="M13" s="10">
        <v>0.54481481481481486</v>
      </c>
      <c r="N13" s="10"/>
      <c r="O13" s="12">
        <f t="shared" si="0"/>
        <v>1.9444444444438602E-3</v>
      </c>
      <c r="R13" s="2"/>
    </row>
    <row r="14" spans="1:18" x14ac:dyDescent="0.35">
      <c r="A14" s="5">
        <v>46028</v>
      </c>
      <c r="B14" s="2">
        <v>4.490740740740741E-2</v>
      </c>
      <c r="C14" t="s">
        <v>20</v>
      </c>
      <c r="D14" s="8" t="s">
        <v>19</v>
      </c>
      <c r="E14" s="8" t="s">
        <v>18</v>
      </c>
      <c r="F14" s="9">
        <v>3</v>
      </c>
      <c r="G14" s="9">
        <v>4800</v>
      </c>
      <c r="H14" s="9">
        <v>5</v>
      </c>
      <c r="I14" s="5">
        <v>46028</v>
      </c>
      <c r="J14" s="2">
        <v>0.5449074074074074</v>
      </c>
      <c r="K14" s="11"/>
      <c r="L14" s="5">
        <v>46028</v>
      </c>
      <c r="M14" s="10">
        <v>0.54481481481481486</v>
      </c>
      <c r="N14" s="10"/>
      <c r="O14" s="12">
        <f t="shared" si="0"/>
        <v>2.2222222222207932E-3</v>
      </c>
      <c r="R14" s="2"/>
    </row>
    <row r="15" spans="1:18" x14ac:dyDescent="0.35">
      <c r="A15" s="5">
        <v>46028</v>
      </c>
      <c r="B15" s="2">
        <v>0.10225694444444444</v>
      </c>
      <c r="C15" t="s">
        <v>20</v>
      </c>
      <c r="D15" s="8" t="s">
        <v>19</v>
      </c>
      <c r="E15" s="8" t="s">
        <v>17</v>
      </c>
      <c r="F15" s="9">
        <v>6</v>
      </c>
      <c r="G15" s="9">
        <v>4200</v>
      </c>
      <c r="H15" s="9">
        <v>30</v>
      </c>
      <c r="I15" s="5">
        <v>46028</v>
      </c>
      <c r="J15" s="2">
        <v>0.60225694444444444</v>
      </c>
      <c r="K15" s="11"/>
      <c r="L15" s="5">
        <v>46028</v>
      </c>
      <c r="M15" s="10">
        <v>0.60218749999999999</v>
      </c>
      <c r="N15" s="10"/>
      <c r="O15" s="12">
        <f t="shared" si="0"/>
        <v>1.6666666666669272E-3</v>
      </c>
      <c r="R15" s="2"/>
    </row>
    <row r="16" spans="1:18" x14ac:dyDescent="0.35">
      <c r="A16" s="5">
        <v>46028</v>
      </c>
      <c r="B16" s="2">
        <v>0.10228009259259259</v>
      </c>
      <c r="C16" t="s">
        <v>20</v>
      </c>
      <c r="D16" s="8" t="s">
        <v>19</v>
      </c>
      <c r="E16" s="8" t="s">
        <v>17</v>
      </c>
      <c r="F16" s="9">
        <v>6</v>
      </c>
      <c r="G16" s="9">
        <v>4200</v>
      </c>
      <c r="H16" s="9">
        <v>30</v>
      </c>
      <c r="I16" s="5">
        <v>46028</v>
      </c>
      <c r="J16" s="2">
        <v>0.60228009259259263</v>
      </c>
      <c r="K16" s="11"/>
      <c r="L16" s="5">
        <v>46028</v>
      </c>
      <c r="M16" s="10">
        <v>0.60218749999999999</v>
      </c>
      <c r="N16" s="10"/>
      <c r="O16" s="12">
        <f t="shared" si="0"/>
        <v>2.2222222222234578E-3</v>
      </c>
      <c r="R16" s="2"/>
    </row>
    <row r="17" spans="4:15" x14ac:dyDescent="0.35">
      <c r="D17" s="6"/>
      <c r="E17" s="6"/>
      <c r="F17" s="6"/>
      <c r="G17" s="6"/>
      <c r="H17" s="6"/>
      <c r="I17" s="6"/>
      <c r="J17" s="6"/>
      <c r="O17" s="12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F7A48-1D70-4725-A712-121E24F5EB26}">
  <dimension ref="A1:I16"/>
  <sheetViews>
    <sheetView workbookViewId="0">
      <selection sqref="A1:XFD1048576"/>
    </sheetView>
  </sheetViews>
  <sheetFormatPr baseColWidth="10" defaultRowHeight="14.5" x14ac:dyDescent="0.35"/>
  <cols>
    <col min="1" max="1" width="14" bestFit="1" customWidth="1"/>
    <col min="3" max="3" width="19.269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3">
        <v>46000</v>
      </c>
      <c r="B2" t="s">
        <v>9</v>
      </c>
      <c r="C2" t="s">
        <v>10</v>
      </c>
      <c r="D2">
        <v>2</v>
      </c>
      <c r="E2">
        <v>1200</v>
      </c>
      <c r="F2">
        <v>34</v>
      </c>
      <c r="G2" s="2">
        <v>0.39354166666666668</v>
      </c>
      <c r="H2" s="2">
        <v>0.39393518518518517</v>
      </c>
      <c r="I2" s="13">
        <v>9.4444444444437003E-3</v>
      </c>
    </row>
    <row r="3" spans="1:9" x14ac:dyDescent="0.35">
      <c r="A3" s="3">
        <v>46000</v>
      </c>
      <c r="B3" s="8" t="s">
        <v>9</v>
      </c>
      <c r="C3" s="8" t="s">
        <v>10</v>
      </c>
      <c r="D3" s="9">
        <v>2</v>
      </c>
      <c r="E3" s="9">
        <v>1200</v>
      </c>
      <c r="F3" s="9">
        <v>34</v>
      </c>
      <c r="G3" s="11">
        <v>0.39401620370370372</v>
      </c>
      <c r="H3" s="10">
        <v>0.39393518518518517</v>
      </c>
      <c r="I3" s="13">
        <f>(G3-H3)*24</f>
        <v>1.9444444444451925E-3</v>
      </c>
    </row>
    <row r="4" spans="1:9" x14ac:dyDescent="0.35">
      <c r="A4" s="3">
        <v>46000</v>
      </c>
      <c r="B4" s="8" t="s">
        <v>9</v>
      </c>
      <c r="C4" s="8" t="s">
        <v>13</v>
      </c>
      <c r="D4" s="9">
        <v>10</v>
      </c>
      <c r="E4" s="9">
        <v>5500</v>
      </c>
      <c r="F4" s="9">
        <v>31</v>
      </c>
      <c r="G4" s="2">
        <v>0.51930555555555558</v>
      </c>
      <c r="H4" s="10">
        <v>0.5178356481481482</v>
      </c>
      <c r="I4" s="13">
        <f t="shared" ref="I4:I16" si="0">(G4-H4)*24</f>
        <v>3.5277777777777075E-2</v>
      </c>
    </row>
    <row r="5" spans="1:9" x14ac:dyDescent="0.35">
      <c r="A5" s="3">
        <v>46000</v>
      </c>
      <c r="B5" s="8" t="s">
        <v>9</v>
      </c>
      <c r="C5" s="8" t="s">
        <v>13</v>
      </c>
      <c r="D5" s="9">
        <v>10</v>
      </c>
      <c r="E5" s="9">
        <v>5500</v>
      </c>
      <c r="F5" s="9">
        <v>31</v>
      </c>
      <c r="G5" s="2">
        <v>0.51935185185185184</v>
      </c>
      <c r="H5" s="10">
        <v>0.5178356481481482</v>
      </c>
      <c r="I5" s="13">
        <f t="shared" si="0"/>
        <v>3.6388888888887472E-2</v>
      </c>
    </row>
    <row r="6" spans="1:9" x14ac:dyDescent="0.35">
      <c r="A6" s="3">
        <v>46009</v>
      </c>
      <c r="B6" s="8" t="s">
        <v>9</v>
      </c>
      <c r="C6" s="8" t="s">
        <v>13</v>
      </c>
      <c r="D6" s="9">
        <v>2</v>
      </c>
      <c r="E6" s="9">
        <v>1100</v>
      </c>
      <c r="F6" s="9">
        <v>46</v>
      </c>
      <c r="G6" s="2">
        <v>0.50972222222222219</v>
      </c>
      <c r="H6" s="10">
        <v>0.5096180555555555</v>
      </c>
      <c r="I6" s="13">
        <f t="shared" si="0"/>
        <v>2.5000000000003908E-3</v>
      </c>
    </row>
    <row r="7" spans="1:9" x14ac:dyDescent="0.35">
      <c r="A7" s="3">
        <v>46009</v>
      </c>
      <c r="B7" s="8" t="s">
        <v>9</v>
      </c>
      <c r="C7" s="8" t="s">
        <v>14</v>
      </c>
      <c r="D7" s="9">
        <v>2</v>
      </c>
      <c r="E7" s="9">
        <v>1300</v>
      </c>
      <c r="F7" s="9">
        <v>2</v>
      </c>
      <c r="G7" s="2">
        <v>0.53746527777777775</v>
      </c>
      <c r="H7" s="10">
        <v>0.53739583333333329</v>
      </c>
      <c r="I7" s="13">
        <f t="shared" si="0"/>
        <v>1.6666666666669272E-3</v>
      </c>
    </row>
    <row r="8" spans="1:9" x14ac:dyDescent="0.35">
      <c r="A8" s="3">
        <v>46009</v>
      </c>
      <c r="B8" s="8" t="s">
        <v>9</v>
      </c>
      <c r="C8" s="8" t="s">
        <v>14</v>
      </c>
      <c r="D8" s="9">
        <v>2</v>
      </c>
      <c r="E8" s="9">
        <v>1300</v>
      </c>
      <c r="F8" s="9">
        <v>2</v>
      </c>
      <c r="G8" s="2">
        <v>0.53749999999999998</v>
      </c>
      <c r="H8" s="10">
        <v>0.53739583333333329</v>
      </c>
      <c r="I8" s="13">
        <f t="shared" si="0"/>
        <v>2.5000000000003908E-3</v>
      </c>
    </row>
    <row r="9" spans="1:9" x14ac:dyDescent="0.35">
      <c r="A9" s="3">
        <v>46014</v>
      </c>
      <c r="B9" s="8" t="s">
        <v>15</v>
      </c>
      <c r="C9" s="8" t="s">
        <v>16</v>
      </c>
      <c r="D9" s="9">
        <v>3</v>
      </c>
      <c r="E9" s="9">
        <v>1350</v>
      </c>
      <c r="F9" s="9">
        <v>39</v>
      </c>
      <c r="G9" s="2">
        <v>0.60922453703703705</v>
      </c>
      <c r="H9" s="10">
        <v>0.60913194444444441</v>
      </c>
      <c r="I9" s="13">
        <f t="shared" si="0"/>
        <v>2.2222222222234578E-3</v>
      </c>
    </row>
    <row r="10" spans="1:9" x14ac:dyDescent="0.35">
      <c r="A10" s="3">
        <v>46014</v>
      </c>
      <c r="B10" s="8" t="s">
        <v>9</v>
      </c>
      <c r="C10" s="8" t="s">
        <v>10</v>
      </c>
      <c r="D10" s="9">
        <v>1</v>
      </c>
      <c r="E10" s="9">
        <v>600</v>
      </c>
      <c r="F10" s="9">
        <v>3</v>
      </c>
      <c r="G10" s="2">
        <v>0.66027777777777774</v>
      </c>
      <c r="H10" s="10">
        <v>0.66020833333333329</v>
      </c>
      <c r="I10" s="13">
        <f t="shared" si="0"/>
        <v>1.6666666666669272E-3</v>
      </c>
    </row>
    <row r="11" spans="1:9" x14ac:dyDescent="0.35">
      <c r="A11" s="3">
        <v>46014</v>
      </c>
      <c r="B11" s="8" t="s">
        <v>9</v>
      </c>
      <c r="C11" s="8" t="s">
        <v>17</v>
      </c>
      <c r="D11" s="9">
        <v>3</v>
      </c>
      <c r="E11" s="9">
        <v>1500</v>
      </c>
      <c r="F11" s="9">
        <v>21</v>
      </c>
      <c r="G11" s="2">
        <v>0.68903935185185183</v>
      </c>
      <c r="H11" s="10">
        <v>0.68896990740740738</v>
      </c>
      <c r="I11" s="13">
        <f t="shared" si="0"/>
        <v>1.6666666666669272E-3</v>
      </c>
    </row>
    <row r="12" spans="1:9" x14ac:dyDescent="0.35">
      <c r="A12" s="3">
        <v>46014</v>
      </c>
      <c r="B12" s="8" t="s">
        <v>9</v>
      </c>
      <c r="C12" s="8" t="s">
        <v>18</v>
      </c>
      <c r="D12" s="9">
        <v>2</v>
      </c>
      <c r="E12" s="9">
        <v>3200</v>
      </c>
      <c r="F12" s="9">
        <v>14</v>
      </c>
      <c r="G12" s="2">
        <v>0.70182870370370365</v>
      </c>
      <c r="H12" s="10">
        <v>0.70173611111111112</v>
      </c>
      <c r="I12" s="13">
        <f t="shared" si="0"/>
        <v>2.2222222222207932E-3</v>
      </c>
    </row>
    <row r="13" spans="1:9" x14ac:dyDescent="0.35">
      <c r="A13" s="3">
        <v>46028</v>
      </c>
      <c r="B13" s="8" t="s">
        <v>19</v>
      </c>
      <c r="C13" s="8" t="s">
        <v>18</v>
      </c>
      <c r="D13" s="9">
        <v>3</v>
      </c>
      <c r="E13" s="9">
        <v>4800</v>
      </c>
      <c r="F13" s="9">
        <v>5</v>
      </c>
      <c r="G13" s="2">
        <v>0.54489583333333336</v>
      </c>
      <c r="H13" s="10">
        <v>0.54481481481481486</v>
      </c>
      <c r="I13" s="13">
        <f t="shared" si="0"/>
        <v>1.9444444444438602E-3</v>
      </c>
    </row>
    <row r="14" spans="1:9" x14ac:dyDescent="0.35">
      <c r="A14" s="3">
        <v>46028</v>
      </c>
      <c r="B14" s="8" t="s">
        <v>19</v>
      </c>
      <c r="C14" s="8" t="s">
        <v>18</v>
      </c>
      <c r="D14" s="9">
        <v>3</v>
      </c>
      <c r="E14" s="9">
        <v>4800</v>
      </c>
      <c r="F14" s="9">
        <v>5</v>
      </c>
      <c r="G14" s="2">
        <v>0.5449074074074074</v>
      </c>
      <c r="H14" s="10">
        <v>0.54481481481481486</v>
      </c>
      <c r="I14" s="13">
        <f t="shared" si="0"/>
        <v>2.2222222222207932E-3</v>
      </c>
    </row>
    <row r="15" spans="1:9" x14ac:dyDescent="0.35">
      <c r="A15" s="3">
        <v>46028</v>
      </c>
      <c r="B15" s="8" t="s">
        <v>19</v>
      </c>
      <c r="C15" s="8" t="s">
        <v>17</v>
      </c>
      <c r="D15" s="9">
        <v>6</v>
      </c>
      <c r="E15" s="9">
        <v>4200</v>
      </c>
      <c r="F15" s="9">
        <v>30</v>
      </c>
      <c r="G15" s="2">
        <v>0.60225694444444444</v>
      </c>
      <c r="H15" s="10">
        <v>0.60218749999999999</v>
      </c>
      <c r="I15" s="13">
        <f t="shared" si="0"/>
        <v>1.6666666666669272E-3</v>
      </c>
    </row>
    <row r="16" spans="1:9" x14ac:dyDescent="0.35">
      <c r="A16" s="3">
        <v>46028</v>
      </c>
      <c r="B16" s="8" t="s">
        <v>19</v>
      </c>
      <c r="C16" s="8" t="s">
        <v>17</v>
      </c>
      <c r="D16" s="9">
        <v>6</v>
      </c>
      <c r="E16" s="9">
        <v>4200</v>
      </c>
      <c r="F16" s="9">
        <v>30</v>
      </c>
      <c r="G16" s="2">
        <v>0.60228009259259263</v>
      </c>
      <c r="H16" s="10">
        <v>0.60218749999999999</v>
      </c>
      <c r="I16" s="13">
        <f t="shared" si="0"/>
        <v>2.2222222222234578E-3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917F7-58B2-4251-8B70-5836791390CC}">
  <dimension ref="A1:B28"/>
  <sheetViews>
    <sheetView showGridLines="0" tabSelected="1" zoomScaleNormal="100" workbookViewId="0">
      <selection activeCell="H11" sqref="H11"/>
    </sheetView>
  </sheetViews>
  <sheetFormatPr baseColWidth="10" defaultRowHeight="14.5" x14ac:dyDescent="0.35"/>
  <cols>
    <col min="1" max="1" width="16.54296875" bestFit="1" customWidth="1"/>
    <col min="2" max="2" width="19.1796875" bestFit="1" customWidth="1"/>
  </cols>
  <sheetData>
    <row r="1" spans="1:2" x14ac:dyDescent="0.35">
      <c r="A1" s="14" t="s">
        <v>23</v>
      </c>
      <c r="B1" t="s">
        <v>26</v>
      </c>
    </row>
    <row r="2" spans="1:2" x14ac:dyDescent="0.35">
      <c r="A2" s="15" t="s">
        <v>9</v>
      </c>
      <c r="B2" s="16">
        <v>22400</v>
      </c>
    </row>
    <row r="3" spans="1:2" x14ac:dyDescent="0.35">
      <c r="A3" s="15" t="s">
        <v>15</v>
      </c>
      <c r="B3" s="16">
        <v>1350</v>
      </c>
    </row>
    <row r="4" spans="1:2" x14ac:dyDescent="0.35">
      <c r="A4" s="15" t="s">
        <v>19</v>
      </c>
      <c r="B4" s="16">
        <v>18000</v>
      </c>
    </row>
    <row r="5" spans="1:2" x14ac:dyDescent="0.35">
      <c r="A5" s="15" t="s">
        <v>24</v>
      </c>
      <c r="B5" s="16"/>
    </row>
    <row r="6" spans="1:2" x14ac:dyDescent="0.35">
      <c r="A6" s="15" t="s">
        <v>25</v>
      </c>
      <c r="B6" s="16">
        <v>41750</v>
      </c>
    </row>
    <row r="23" spans="1:2" x14ac:dyDescent="0.35">
      <c r="A23" s="14" t="s">
        <v>23</v>
      </c>
      <c r="B23" t="s">
        <v>27</v>
      </c>
    </row>
    <row r="24" spans="1:2" x14ac:dyDescent="0.35">
      <c r="A24" s="15" t="s">
        <v>9</v>
      </c>
      <c r="B24" s="16">
        <v>9.5277777777775796E-2</v>
      </c>
    </row>
    <row r="25" spans="1:2" x14ac:dyDescent="0.35">
      <c r="A25" s="15" t="s">
        <v>15</v>
      </c>
      <c r="B25" s="16">
        <v>2.2222222222234578E-3</v>
      </c>
    </row>
    <row r="26" spans="1:2" x14ac:dyDescent="0.35">
      <c r="A26" s="15" t="s">
        <v>19</v>
      </c>
      <c r="B26" s="16">
        <v>8.0555555555550384E-3</v>
      </c>
    </row>
    <row r="27" spans="1:2" x14ac:dyDescent="0.35">
      <c r="A27" s="15" t="s">
        <v>24</v>
      </c>
      <c r="B27" s="16"/>
    </row>
    <row r="28" spans="1:2" x14ac:dyDescent="0.35">
      <c r="A28" s="15" t="s">
        <v>25</v>
      </c>
      <c r="B28" s="16">
        <v>0.10555555555555429</v>
      </c>
    </row>
  </sheetData>
  <pageMargins left="0.7" right="0.7" top="0.75" bottom="0.75" header="0.3" footer="0.3"/>
  <pageSetup paperSize="9" orientation="portrait" horizontalDpi="0" verticalDpi="0" r:id="rId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Borrad</vt:lpstr>
      <vt:lpstr>DATOS OP</vt:lpstr>
      <vt:lpstr>INFORME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Alexander Arenas</dc:creator>
  <cp:lastModifiedBy>John Alexander Arenas</cp:lastModifiedBy>
  <dcterms:created xsi:type="dcterms:W3CDTF">2026-01-08T12:36:27Z</dcterms:created>
  <dcterms:modified xsi:type="dcterms:W3CDTF">2026-01-08T20:59:01Z</dcterms:modified>
</cp:coreProperties>
</file>